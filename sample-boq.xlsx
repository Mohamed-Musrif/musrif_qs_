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oham\OneDrive\Desktop\QS\"/>
    </mc:Choice>
  </mc:AlternateContent>
  <xr:revisionPtr revIDLastSave="0" documentId="13_ncr:1_{D953A118-6293-4080-A3CE-95F0ECA243E6}" xr6:coauthVersionLast="47" xr6:coauthVersionMax="47" xr10:uidLastSave="{00000000-0000-0000-0000-000000000000}"/>
  <bookViews>
    <workbookView xWindow="-108" yWindow="-108" windowWidth="23256" windowHeight="12456" xr2:uid="{E68355E1-995B-4A85-A60B-0BA2CE9AEE5B}"/>
  </bookViews>
  <sheets>
    <sheet name="SECTION C - CONCRETE WORK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56" i="1" l="1"/>
  <c r="L52" i="1"/>
  <c r="K52" i="1"/>
  <c r="J52" i="1"/>
  <c r="L46" i="1"/>
  <c r="L47" i="1"/>
  <c r="L48" i="1"/>
  <c r="L45" i="1"/>
  <c r="J46" i="1"/>
  <c r="J47" i="1"/>
  <c r="J48" i="1"/>
  <c r="J45" i="1"/>
  <c r="G39" i="1"/>
  <c r="G38" i="1"/>
  <c r="L44" i="1" l="1"/>
  <c r="K44" i="1"/>
  <c r="L29" i="1" l="1"/>
  <c r="L23" i="1"/>
  <c r="K23" i="1"/>
  <c r="K29" i="1"/>
  <c r="J31" i="1"/>
  <c r="J33" i="1"/>
  <c r="J34" i="1"/>
  <c r="J35" i="1"/>
  <c r="L15" i="1"/>
  <c r="J15" i="1"/>
  <c r="L30" i="1"/>
  <c r="L35" i="1"/>
  <c r="L31" i="1"/>
  <c r="L25" i="1"/>
  <c r="L24" i="1"/>
  <c r="L12" i="1"/>
  <c r="L11" i="1"/>
  <c r="L9" i="1"/>
  <c r="J25" i="1"/>
  <c r="J24" i="1"/>
  <c r="J30" i="1"/>
  <c r="J12" i="1"/>
  <c r="J11" i="1"/>
  <c r="J9" i="1"/>
  <c r="K7" i="1" s="1"/>
  <c r="L7" i="1" l="1"/>
</calcChain>
</file>

<file path=xl/sharedStrings.xml><?xml version="1.0" encoding="utf-8"?>
<sst xmlns="http://schemas.openxmlformats.org/spreadsheetml/2006/main" count="60" uniqueCount="52">
  <si>
    <t>SECTION C - CONCRETE WORKS</t>
  </si>
  <si>
    <t xml:space="preserve">ITEM </t>
  </si>
  <si>
    <t>DISCRIPTION</t>
  </si>
  <si>
    <t>UNIT</t>
  </si>
  <si>
    <t>NO</t>
  </si>
  <si>
    <t>LENGTH</t>
  </si>
  <si>
    <t>WIDTH</t>
  </si>
  <si>
    <t>AREA</t>
  </si>
  <si>
    <t>PERI</t>
  </si>
  <si>
    <t>SUB TOTAL</t>
  </si>
  <si>
    <t>QUANTITY</t>
  </si>
  <si>
    <t>FRAME WORK</t>
  </si>
  <si>
    <t>SUBSTRUCTURE -SRC</t>
  </si>
  <si>
    <t>A</t>
  </si>
  <si>
    <t>RAFT PCC 100MM</t>
  </si>
  <si>
    <t>F1</t>
  </si>
  <si>
    <t>F2</t>
  </si>
  <si>
    <t>ISOLATED FOOTING PCC</t>
  </si>
  <si>
    <t>RAFT 300MM</t>
  </si>
  <si>
    <t xml:space="preserve">ISOLATED FOOTING </t>
  </si>
  <si>
    <t>ADDING THK 400M</t>
  </si>
  <si>
    <t>D</t>
  </si>
  <si>
    <t>LIFT PIT</t>
  </si>
  <si>
    <t>WORK SPACE</t>
  </si>
  <si>
    <t>Raft foundation  RCC</t>
  </si>
  <si>
    <t>100mm thk blinding PCC</t>
  </si>
  <si>
    <t>B</t>
  </si>
  <si>
    <t>m3</t>
  </si>
  <si>
    <t>M3</t>
  </si>
  <si>
    <t>concrete under grade slab &amp; plinth beam</t>
  </si>
  <si>
    <r>
      <rPr>
        <b/>
        <sz val="10"/>
        <rFont val="Arial"/>
        <family val="2"/>
      </rPr>
      <t>50mm thk blinding</t>
    </r>
    <r>
      <rPr>
        <sz val="10"/>
        <rFont val="Arial"/>
        <family val="2"/>
      </rPr>
      <t xml:space="preserve"> </t>
    </r>
  </si>
  <si>
    <t>HEIGHT/DEPTH</t>
  </si>
  <si>
    <t>DROPS</t>
  </si>
  <si>
    <t>450MM</t>
  </si>
  <si>
    <t>550MM</t>
  </si>
  <si>
    <t>C</t>
  </si>
  <si>
    <t>Isolated footings</t>
  </si>
  <si>
    <t>E</t>
  </si>
  <si>
    <t>Retaining wall</t>
  </si>
  <si>
    <t>RW 2</t>
  </si>
  <si>
    <t>RW1</t>
  </si>
  <si>
    <t>F</t>
  </si>
  <si>
    <t>Neck column</t>
  </si>
  <si>
    <t>C2</t>
  </si>
  <si>
    <t>C5</t>
  </si>
  <si>
    <t>C6</t>
  </si>
  <si>
    <t>C8</t>
  </si>
  <si>
    <t>G</t>
  </si>
  <si>
    <t>Ground/Plinth/Tie beam</t>
  </si>
  <si>
    <t>B2</t>
  </si>
  <si>
    <t>H</t>
  </si>
  <si>
    <t xml:space="preserve">Grade/Ground slab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</si>
</sst>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0"/>
      <color theme="1"/>
      <name val="Arial"/>
      <family val="2"/>
    </font>
    <font>
      <b/>
      <u/>
      <sz val="10"/>
      <color rgb="FFC00000"/>
      <name val="Arial"/>
      <family val="2"/>
    </font>
    <font>
      <sz val="12"/>
      <name val="Arial MT"/>
      <charset val="178"/>
    </font>
    <font>
      <sz val="11"/>
      <color rgb="FFC00000"/>
      <name val="Aptos Narrow"/>
      <family val="2"/>
      <scheme val="minor"/>
    </font>
    <font>
      <sz val="10"/>
      <color theme="1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11"/>
      <color rgb="FFFF0000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79998168889431442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2">
    <xf numFmtId="0" fontId="0" fillId="0" borderId="0"/>
    <xf numFmtId="37" fontId="4" fillId="0" borderId="0"/>
  </cellStyleXfs>
  <cellXfs count="49">
    <xf numFmtId="0" fontId="0" fillId="0" borderId="0" xfId="0"/>
    <xf numFmtId="0" fontId="0" fillId="0" borderId="3" xfId="0" applyBorder="1"/>
    <xf numFmtId="0" fontId="0" fillId="0" borderId="4" xfId="0" applyBorder="1"/>
    <xf numFmtId="0" fontId="1" fillId="0" borderId="5" xfId="0" applyFont="1" applyBorder="1"/>
    <xf numFmtId="0" fontId="1" fillId="0" borderId="6" xfId="0" applyFont="1" applyBorder="1"/>
    <xf numFmtId="0" fontId="5" fillId="0" borderId="3" xfId="0" applyFont="1" applyBorder="1"/>
    <xf numFmtId="37" fontId="3" fillId="0" borderId="3" xfId="1" applyFont="1" applyBorder="1" applyAlignment="1">
      <alignment horizontal="left" vertical="center"/>
    </xf>
    <xf numFmtId="0" fontId="6" fillId="3" borderId="1" xfId="0" applyFont="1" applyFill="1" applyBorder="1" applyAlignment="1">
      <alignment horizontal="center" vertical="center"/>
    </xf>
    <xf numFmtId="37" fontId="7" fillId="3" borderId="0" xfId="1" applyFont="1" applyFill="1" applyAlignment="1">
      <alignment horizontal="left" vertical="center" wrapText="1"/>
    </xf>
    <xf numFmtId="2" fontId="1" fillId="0" borderId="6" xfId="0" applyNumberFormat="1" applyFont="1" applyBorder="1"/>
    <xf numFmtId="2" fontId="0" fillId="0" borderId="4" xfId="0" applyNumberFormat="1" applyBorder="1"/>
    <xf numFmtId="2" fontId="0" fillId="0" borderId="3" xfId="0" applyNumberFormat="1" applyBorder="1"/>
    <xf numFmtId="2" fontId="0" fillId="0" borderId="0" xfId="0" applyNumberFormat="1"/>
    <xf numFmtId="2" fontId="1" fillId="3" borderId="6" xfId="0" applyNumberFormat="1" applyFont="1" applyFill="1" applyBorder="1"/>
    <xf numFmtId="2" fontId="0" fillId="3" borderId="4" xfId="0" applyNumberFormat="1" applyFill="1" applyBorder="1"/>
    <xf numFmtId="2" fontId="0" fillId="3" borderId="3" xfId="0" applyNumberFormat="1" applyFill="1" applyBorder="1"/>
    <xf numFmtId="2" fontId="0" fillId="3" borderId="0" xfId="0" applyNumberFormat="1" applyFill="1"/>
    <xf numFmtId="2" fontId="1" fillId="4" borderId="7" xfId="0" applyNumberFormat="1" applyFont="1" applyFill="1" applyBorder="1"/>
    <xf numFmtId="2" fontId="0" fillId="4" borderId="4" xfId="0" applyNumberFormat="1" applyFill="1" applyBorder="1"/>
    <xf numFmtId="2" fontId="0" fillId="4" borderId="3" xfId="0" applyNumberFormat="1" applyFill="1" applyBorder="1"/>
    <xf numFmtId="2" fontId="0" fillId="4" borderId="0" xfId="0" applyNumberFormat="1" applyFill="1"/>
    <xf numFmtId="2" fontId="9" fillId="3" borderId="3" xfId="0" applyNumberFormat="1" applyFont="1" applyFill="1" applyBorder="1"/>
    <xf numFmtId="0" fontId="2" fillId="3" borderId="1" xfId="0" applyFont="1" applyFill="1" applyBorder="1" applyAlignment="1">
      <alignment horizontal="center" vertical="center"/>
    </xf>
    <xf numFmtId="37" fontId="8" fillId="3" borderId="0" xfId="1" applyFont="1" applyFill="1" applyAlignment="1">
      <alignment horizontal="left" vertical="center" wrapText="1"/>
    </xf>
    <xf numFmtId="2" fontId="1" fillId="0" borderId="2" xfId="0" applyNumberFormat="1" applyFont="1" applyBorder="1"/>
    <xf numFmtId="2" fontId="9" fillId="4" borderId="3" xfId="0" applyNumberFormat="1" applyFont="1" applyFill="1" applyBorder="1"/>
    <xf numFmtId="0" fontId="0" fillId="0" borderId="3" xfId="0" applyBorder="1" applyAlignment="1">
      <alignment wrapText="1"/>
    </xf>
    <xf numFmtId="0" fontId="1" fillId="0" borderId="6" xfId="0" applyFon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3" borderId="3" xfId="0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0" borderId="1" xfId="0" applyBorder="1"/>
    <xf numFmtId="2" fontId="0" fillId="0" borderId="1" xfId="0" applyNumberFormat="1" applyBorder="1"/>
    <xf numFmtId="2" fontId="9" fillId="3" borderId="1" xfId="0" applyNumberFormat="1" applyFont="1" applyFill="1" applyBorder="1"/>
    <xf numFmtId="2" fontId="9" fillId="4" borderId="1" xfId="0" applyNumberFormat="1" applyFont="1" applyFill="1" applyBorder="1"/>
    <xf numFmtId="37" fontId="8" fillId="3" borderId="0" xfId="1" applyFont="1" applyFill="1" applyAlignment="1">
      <alignment horizontal="left" vertical="center"/>
    </xf>
    <xf numFmtId="2" fontId="0" fillId="4" borderId="9" xfId="0" applyNumberFormat="1" applyFill="1" applyBorder="1"/>
    <xf numFmtId="0" fontId="0" fillId="0" borderId="10" xfId="0" applyBorder="1"/>
    <xf numFmtId="0" fontId="2" fillId="3" borderId="2" xfId="0" applyFont="1" applyFill="1" applyBorder="1" applyAlignment="1">
      <alignment horizont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1" xfId="0" applyBorder="1"/>
    <xf numFmtId="2" fontId="0" fillId="0" borderId="11" xfId="0" applyNumberFormat="1" applyBorder="1"/>
    <xf numFmtId="2" fontId="0" fillId="3" borderId="11" xfId="0" applyNumberFormat="1" applyFill="1" applyBorder="1"/>
    <xf numFmtId="2" fontId="0" fillId="4" borderId="12" xfId="0" applyNumberFormat="1" applyFill="1" applyBorder="1"/>
    <xf numFmtId="0" fontId="3" fillId="2" borderId="3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</cellXfs>
  <cellStyles count="2">
    <cellStyle name="Normal" xfId="0" builtinId="0"/>
    <cellStyle name="Normal_BOQ1" xfId="1" xr:uid="{9F190758-55A5-4940-AC40-D22BBA5BFB5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744D67-9F28-4DA8-BDED-09E1CC77C3BE}">
  <dimension ref="A1:ES66"/>
  <sheetViews>
    <sheetView tabSelected="1" workbookViewId="0">
      <pane ySplit="1" topLeftCell="A40" activePane="bottomLeft" state="frozen"/>
      <selection pane="bottomLeft" activeCell="B56" sqref="B56"/>
    </sheetView>
  </sheetViews>
  <sheetFormatPr defaultRowHeight="14.4"/>
  <cols>
    <col min="2" max="2" width="17" bestFit="1" customWidth="1"/>
    <col min="3" max="3" width="8.88671875" style="31"/>
    <col min="5" max="9" width="8.88671875" style="12"/>
    <col min="10" max="10" width="9.77734375" style="12" bestFit="1" customWidth="1"/>
    <col min="11" max="11" width="9.21875" style="16" bestFit="1" customWidth="1"/>
    <col min="12" max="12" width="12.109375" style="20" bestFit="1" customWidth="1"/>
    <col min="13" max="13" width="12.109375" bestFit="1" customWidth="1"/>
  </cols>
  <sheetData>
    <row r="1" spans="1:13" ht="15" thickBot="1">
      <c r="A1" s="3" t="s">
        <v>1</v>
      </c>
      <c r="B1" s="4" t="s">
        <v>2</v>
      </c>
      <c r="C1" s="27" t="s">
        <v>3</v>
      </c>
      <c r="D1" s="4" t="s">
        <v>4</v>
      </c>
      <c r="E1" s="9" t="s">
        <v>5</v>
      </c>
      <c r="F1" s="9" t="s">
        <v>6</v>
      </c>
      <c r="G1" s="9" t="s">
        <v>31</v>
      </c>
      <c r="H1" s="9" t="s">
        <v>8</v>
      </c>
      <c r="I1" s="9" t="s">
        <v>7</v>
      </c>
      <c r="J1" s="9" t="s">
        <v>9</v>
      </c>
      <c r="K1" s="13" t="s">
        <v>10</v>
      </c>
      <c r="L1" s="17" t="s">
        <v>11</v>
      </c>
      <c r="M1" s="24" t="s">
        <v>23</v>
      </c>
    </row>
    <row r="2" spans="1:13">
      <c r="A2" s="2"/>
      <c r="B2" s="2"/>
      <c r="C2" s="28"/>
      <c r="D2" s="2"/>
      <c r="E2" s="10"/>
      <c r="F2" s="10"/>
      <c r="G2" s="10"/>
      <c r="H2" s="10"/>
      <c r="I2" s="10"/>
      <c r="J2" s="10"/>
      <c r="K2" s="14"/>
      <c r="L2" s="18"/>
    </row>
    <row r="3" spans="1:13">
      <c r="A3" s="47" t="s">
        <v>0</v>
      </c>
      <c r="B3" s="47"/>
      <c r="C3" s="47"/>
      <c r="D3" s="47"/>
      <c r="E3" s="11"/>
      <c r="F3" s="11"/>
      <c r="G3" s="11"/>
      <c r="H3" s="11"/>
      <c r="I3" s="11"/>
      <c r="J3" s="11"/>
      <c r="K3" s="15"/>
      <c r="L3" s="19"/>
    </row>
    <row r="4" spans="1:13">
      <c r="A4" s="1"/>
      <c r="B4" s="1"/>
      <c r="C4" s="29"/>
      <c r="D4" s="1"/>
      <c r="E4" s="11"/>
      <c r="F4" s="11"/>
      <c r="G4" s="11"/>
      <c r="H4" s="11"/>
      <c r="I4" s="11"/>
      <c r="J4" s="11"/>
      <c r="K4" s="15"/>
      <c r="L4" s="19"/>
    </row>
    <row r="5" spans="1:13">
      <c r="A5" s="6" t="s">
        <v>12</v>
      </c>
      <c r="B5" s="5"/>
      <c r="C5" s="29"/>
      <c r="D5" s="1"/>
      <c r="E5" s="11"/>
      <c r="F5" s="11"/>
      <c r="G5" s="11"/>
      <c r="H5" s="11"/>
      <c r="I5" s="11"/>
      <c r="J5" s="11"/>
      <c r="K5" s="15"/>
      <c r="L5" s="19"/>
    </row>
    <row r="6" spans="1:13">
      <c r="A6" s="1"/>
      <c r="B6" s="1"/>
      <c r="C6" s="29"/>
      <c r="D6" s="1"/>
      <c r="E6" s="11"/>
      <c r="F6" s="11"/>
      <c r="G6" s="11"/>
      <c r="H6" s="11"/>
      <c r="I6" s="11"/>
      <c r="J6" s="11"/>
      <c r="K6" s="15"/>
      <c r="L6" s="19"/>
    </row>
    <row r="7" spans="1:13" ht="26.4">
      <c r="A7" s="7" t="s">
        <v>13</v>
      </c>
      <c r="B7" s="23" t="s">
        <v>25</v>
      </c>
      <c r="C7" s="30" t="s">
        <v>28</v>
      </c>
      <c r="D7" s="1"/>
      <c r="E7" s="11"/>
      <c r="F7" s="11"/>
      <c r="G7" s="11"/>
      <c r="H7" s="11"/>
      <c r="I7" s="11"/>
      <c r="J7" s="11"/>
      <c r="K7" s="21">
        <f>SUM(J9:J12)</f>
        <v>69.783000000000001</v>
      </c>
      <c r="L7" s="25">
        <f>SUM(L9:L12)</f>
        <v>16.14</v>
      </c>
    </row>
    <row r="8" spans="1:13">
      <c r="A8" s="1"/>
      <c r="B8" s="1"/>
      <c r="C8" s="29"/>
      <c r="D8" s="1"/>
      <c r="E8" s="11"/>
      <c r="F8" s="11"/>
      <c r="G8" s="11"/>
      <c r="H8" s="11"/>
      <c r="I8" s="11"/>
      <c r="J8" s="11"/>
      <c r="K8" s="15"/>
      <c r="L8" s="19"/>
    </row>
    <row r="9" spans="1:13">
      <c r="A9" s="1"/>
      <c r="B9" s="1" t="s">
        <v>14</v>
      </c>
      <c r="C9" s="29"/>
      <c r="D9" s="1"/>
      <c r="E9" s="11"/>
      <c r="F9" s="11"/>
      <c r="G9" s="11">
        <v>0.1</v>
      </c>
      <c r="H9" s="11">
        <v>112</v>
      </c>
      <c r="I9" s="11">
        <v>667.27</v>
      </c>
      <c r="J9" s="11">
        <f>G9*I9</f>
        <v>66.727000000000004</v>
      </c>
      <c r="K9" s="15"/>
      <c r="L9" s="19">
        <f>G9*H9</f>
        <v>11.200000000000001</v>
      </c>
    </row>
    <row r="10" spans="1:13">
      <c r="A10" s="1"/>
      <c r="B10" s="1" t="s">
        <v>17</v>
      </c>
      <c r="C10" s="29"/>
      <c r="D10" s="1"/>
      <c r="E10" s="11"/>
      <c r="F10" s="11"/>
      <c r="G10" s="11"/>
      <c r="H10" s="11"/>
      <c r="I10" s="11"/>
      <c r="J10" s="11"/>
      <c r="K10" s="15"/>
      <c r="L10" s="19"/>
    </row>
    <row r="11" spans="1:13">
      <c r="A11" s="1"/>
      <c r="B11" s="1" t="s">
        <v>15</v>
      </c>
      <c r="C11" s="29"/>
      <c r="D11" s="1">
        <v>3</v>
      </c>
      <c r="E11" s="11">
        <v>2.9</v>
      </c>
      <c r="F11" s="11">
        <v>2.4</v>
      </c>
      <c r="G11" s="11">
        <v>0.1</v>
      </c>
      <c r="H11" s="11">
        <v>5.94</v>
      </c>
      <c r="I11" s="11">
        <v>9.8000000000000007</v>
      </c>
      <c r="J11" s="11">
        <f>D11*E11*F11*G11</f>
        <v>2.0880000000000001</v>
      </c>
      <c r="K11" s="15"/>
      <c r="L11" s="19">
        <f>D11*(E11+F11+E11+F11)*G11</f>
        <v>3.1799999999999997</v>
      </c>
    </row>
    <row r="12" spans="1:13">
      <c r="A12" s="1"/>
      <c r="B12" s="1" t="s">
        <v>16</v>
      </c>
      <c r="C12" s="29"/>
      <c r="D12" s="1">
        <v>2</v>
      </c>
      <c r="E12" s="11">
        <v>2.2000000000000002</v>
      </c>
      <c r="F12" s="11">
        <v>2.2000000000000002</v>
      </c>
      <c r="G12" s="11">
        <v>0.1</v>
      </c>
      <c r="H12" s="11">
        <v>8</v>
      </c>
      <c r="I12" s="11">
        <v>4</v>
      </c>
      <c r="J12" s="11">
        <f>D12*E12*F12*G12</f>
        <v>0.96800000000000019</v>
      </c>
      <c r="K12" s="15"/>
      <c r="L12" s="19">
        <f>D12*(E12+F12+E12+F12)*G12</f>
        <v>1.7600000000000002</v>
      </c>
    </row>
    <row r="13" spans="1:13">
      <c r="A13" s="1"/>
      <c r="B13" s="1"/>
      <c r="C13" s="29"/>
      <c r="D13" s="1"/>
      <c r="E13" s="11"/>
      <c r="F13" s="11"/>
      <c r="G13" s="11"/>
      <c r="H13" s="11"/>
      <c r="I13" s="11"/>
      <c r="J13" s="11"/>
      <c r="K13" s="15"/>
      <c r="L13" s="19"/>
    </row>
    <row r="14" spans="1:13">
      <c r="A14" s="7" t="s">
        <v>26</v>
      </c>
      <c r="B14" s="8" t="s">
        <v>30</v>
      </c>
      <c r="C14" s="7" t="s">
        <v>28</v>
      </c>
      <c r="D14" s="1"/>
      <c r="E14" s="11"/>
      <c r="F14" s="11"/>
      <c r="G14" s="11"/>
      <c r="H14" s="11"/>
      <c r="I14" s="11"/>
      <c r="J14" s="11"/>
      <c r="K14" s="21">
        <v>2.61</v>
      </c>
      <c r="L14" s="25">
        <v>2.06</v>
      </c>
    </row>
    <row r="15" spans="1:13" ht="43.2">
      <c r="A15" s="1"/>
      <c r="B15" s="26" t="s">
        <v>29</v>
      </c>
      <c r="C15" s="29"/>
      <c r="D15" s="1"/>
      <c r="E15" s="11"/>
      <c r="F15" s="11"/>
      <c r="G15" s="1">
        <v>0.05</v>
      </c>
      <c r="H15" s="1">
        <v>41.19</v>
      </c>
      <c r="I15" s="11">
        <v>52.25</v>
      </c>
      <c r="J15" s="11">
        <f>G15*I15</f>
        <v>2.6125000000000003</v>
      </c>
      <c r="K15" s="15"/>
      <c r="L15" s="19">
        <f>G15*H15</f>
        <v>2.0594999999999999</v>
      </c>
    </row>
    <row r="16" spans="1:13">
      <c r="A16" s="1"/>
      <c r="B16" s="1"/>
      <c r="C16" s="29"/>
      <c r="D16" s="1"/>
      <c r="E16" s="11"/>
      <c r="F16" s="11"/>
      <c r="G16" s="11"/>
      <c r="H16" s="11"/>
      <c r="I16" s="11"/>
      <c r="J16" s="11"/>
      <c r="K16" s="15"/>
      <c r="L16" s="19"/>
    </row>
    <row r="17" spans="1:149">
      <c r="A17" s="1"/>
      <c r="B17" s="1"/>
      <c r="C17" s="29"/>
      <c r="D17" s="1"/>
      <c r="E17" s="11"/>
      <c r="F17" s="11"/>
      <c r="G17" s="11"/>
      <c r="H17" s="11"/>
      <c r="I17" s="11"/>
      <c r="J17" s="11"/>
      <c r="K17" s="15"/>
      <c r="L17" s="19"/>
    </row>
    <row r="18" spans="1:149">
      <c r="A18" s="1"/>
      <c r="B18" s="1"/>
      <c r="C18" s="29"/>
      <c r="D18" s="1"/>
      <c r="E18" s="11"/>
      <c r="F18" s="11"/>
      <c r="G18" s="11"/>
      <c r="H18" s="11"/>
      <c r="I18" s="11"/>
      <c r="J18" s="11"/>
      <c r="K18" s="15"/>
      <c r="L18" s="19"/>
    </row>
    <row r="19" spans="1:149">
      <c r="A19" s="1"/>
      <c r="B19" s="1"/>
      <c r="C19" s="29"/>
      <c r="D19" s="1"/>
      <c r="E19" s="11"/>
      <c r="F19" s="11"/>
      <c r="G19" s="11"/>
      <c r="H19" s="11"/>
      <c r="I19" s="11"/>
      <c r="J19" s="11"/>
      <c r="K19" s="15"/>
      <c r="L19" s="19"/>
    </row>
    <row r="20" spans="1:149">
      <c r="A20" s="1"/>
      <c r="B20" s="1"/>
      <c r="C20" s="29"/>
      <c r="D20" s="43"/>
      <c r="E20" s="44"/>
      <c r="F20" s="44"/>
      <c r="G20" s="44"/>
      <c r="H20" s="44"/>
      <c r="I20" s="44"/>
      <c r="J20" s="44"/>
      <c r="K20" s="45"/>
      <c r="L20" s="46"/>
    </row>
    <row r="21" spans="1:149">
      <c r="A21" s="22" t="s">
        <v>35</v>
      </c>
      <c r="B21" s="37" t="s">
        <v>36</v>
      </c>
      <c r="C21" s="40" t="s">
        <v>27</v>
      </c>
      <c r="D21" s="1"/>
      <c r="E21" s="11"/>
      <c r="F21" s="11"/>
      <c r="G21" s="11"/>
      <c r="H21" s="11"/>
      <c r="I21" s="11"/>
      <c r="J21" s="11"/>
      <c r="K21" s="15"/>
      <c r="L21" s="19"/>
    </row>
    <row r="22" spans="1:149" s="1" customFormat="1">
      <c r="C22" s="41"/>
      <c r="E22" s="11"/>
      <c r="F22" s="11"/>
      <c r="G22" s="11"/>
      <c r="H22" s="11"/>
      <c r="I22" s="11"/>
      <c r="J22" s="11"/>
      <c r="K22" s="15"/>
      <c r="L22" s="19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  <c r="AR22"/>
      <c r="AS22"/>
      <c r="AT22"/>
      <c r="AU22"/>
      <c r="AV22"/>
      <c r="AW22"/>
      <c r="AX22"/>
      <c r="AY22"/>
      <c r="AZ22"/>
      <c r="BA22"/>
      <c r="BB22"/>
      <c r="BC22"/>
      <c r="BD22"/>
      <c r="BE22"/>
      <c r="BF22"/>
      <c r="BG22"/>
      <c r="BH22"/>
      <c r="BI22"/>
      <c r="BJ22"/>
      <c r="BK22"/>
      <c r="BL22"/>
      <c r="BM22"/>
      <c r="BN22"/>
      <c r="BO22"/>
      <c r="BP22"/>
      <c r="BQ22"/>
      <c r="BR22"/>
      <c r="BS22"/>
      <c r="BT22"/>
      <c r="BU22"/>
      <c r="BV22"/>
      <c r="BW22"/>
      <c r="BX22"/>
      <c r="BY22"/>
      <c r="BZ22"/>
      <c r="CA22"/>
      <c r="CB22"/>
      <c r="CC22"/>
      <c r="CD22"/>
      <c r="CE22"/>
      <c r="CF22"/>
      <c r="CG22"/>
      <c r="CH22"/>
      <c r="CI22"/>
      <c r="CJ22"/>
      <c r="CK22"/>
      <c r="CL22"/>
      <c r="CM22"/>
      <c r="CN22"/>
      <c r="CO22"/>
      <c r="CP22"/>
      <c r="CQ22"/>
      <c r="CR22"/>
      <c r="CS22"/>
      <c r="CT22"/>
      <c r="CU22"/>
      <c r="CV22"/>
      <c r="CW22"/>
      <c r="CX22"/>
      <c r="CY22"/>
      <c r="CZ22"/>
      <c r="DA22"/>
      <c r="DB22"/>
      <c r="DC22"/>
      <c r="DD22"/>
      <c r="DE22"/>
      <c r="DF22"/>
      <c r="DG22"/>
      <c r="DH22"/>
      <c r="DI22"/>
      <c r="DJ22"/>
      <c r="DK22"/>
      <c r="DL22"/>
      <c r="DM22"/>
      <c r="DN22"/>
      <c r="DO22"/>
      <c r="DP22"/>
      <c r="DQ22"/>
      <c r="DR22"/>
      <c r="DS22"/>
      <c r="DT22"/>
      <c r="DU22"/>
      <c r="DV22"/>
      <c r="DW22"/>
      <c r="DX22"/>
      <c r="DY22"/>
      <c r="DZ22"/>
      <c r="EA22"/>
      <c r="EB22"/>
      <c r="EC22"/>
      <c r="ED22"/>
      <c r="EE22"/>
      <c r="EF22"/>
      <c r="EG22"/>
      <c r="EH22"/>
      <c r="EI22"/>
      <c r="EJ22"/>
      <c r="EK22"/>
      <c r="EL22"/>
      <c r="EM22"/>
      <c r="EN22"/>
      <c r="EO22"/>
      <c r="EP22"/>
      <c r="EQ22"/>
      <c r="ER22"/>
      <c r="ES22" s="39"/>
    </row>
    <row r="23" spans="1:149">
      <c r="A23" s="2"/>
      <c r="B23" s="2" t="s">
        <v>19</v>
      </c>
      <c r="C23" s="42"/>
      <c r="D23" s="1"/>
      <c r="E23" s="11"/>
      <c r="F23" s="11"/>
      <c r="G23" s="11"/>
      <c r="H23" s="11"/>
      <c r="I23" s="11"/>
      <c r="J23" s="11"/>
      <c r="K23" s="21">
        <f>SUM(J24:J25)</f>
        <v>7.7460000000000004</v>
      </c>
      <c r="L23" s="25">
        <f>SUM(L24:L25)</f>
        <v>13.620000000000001</v>
      </c>
    </row>
    <row r="24" spans="1:149">
      <c r="A24" s="1"/>
      <c r="B24" s="1" t="s">
        <v>15</v>
      </c>
      <c r="C24" s="29"/>
      <c r="D24" s="2">
        <v>3</v>
      </c>
      <c r="E24" s="10">
        <v>2.7</v>
      </c>
      <c r="F24" s="10">
        <v>2.2000000000000002</v>
      </c>
      <c r="G24" s="10">
        <v>0.3</v>
      </c>
      <c r="H24" s="10">
        <v>5.94</v>
      </c>
      <c r="I24" s="10">
        <v>9.8000000000000007</v>
      </c>
      <c r="J24" s="10">
        <f>E24*F24*D24*G24</f>
        <v>5.346000000000001</v>
      </c>
      <c r="K24" s="14"/>
      <c r="L24" s="38">
        <f>D24*(E24+F24+E24+F24)*G24</f>
        <v>8.82</v>
      </c>
    </row>
    <row r="25" spans="1:149">
      <c r="A25" s="1"/>
      <c r="B25" s="1" t="s">
        <v>16</v>
      </c>
      <c r="C25" s="29"/>
      <c r="D25" s="1">
        <v>2</v>
      </c>
      <c r="E25" s="11">
        <v>2</v>
      </c>
      <c r="F25" s="11">
        <v>2</v>
      </c>
      <c r="G25" s="11">
        <v>0.3</v>
      </c>
      <c r="H25" s="11">
        <v>8</v>
      </c>
      <c r="I25" s="11">
        <v>4</v>
      </c>
      <c r="J25" s="11">
        <f>E25*F25*D25*G25</f>
        <v>2.4</v>
      </c>
      <c r="K25" s="15"/>
      <c r="L25" s="19">
        <f>D25*(E25+F25+E25+F25)*G25</f>
        <v>4.8</v>
      </c>
    </row>
    <row r="26" spans="1:149">
      <c r="A26" s="1"/>
      <c r="B26" s="1"/>
      <c r="C26" s="29"/>
      <c r="D26" s="1"/>
      <c r="E26" s="11"/>
      <c r="F26" s="11"/>
      <c r="G26" s="11"/>
      <c r="H26" s="11"/>
      <c r="I26" s="11"/>
      <c r="J26" s="11"/>
      <c r="K26" s="15"/>
      <c r="L26" s="19"/>
    </row>
    <row r="27" spans="1:149">
      <c r="A27" s="1"/>
      <c r="B27" s="1"/>
      <c r="C27" s="29"/>
      <c r="D27" s="1"/>
      <c r="E27" s="11"/>
      <c r="F27" s="11"/>
      <c r="G27" s="11"/>
      <c r="H27" s="11"/>
      <c r="I27" s="11"/>
      <c r="J27" s="11"/>
      <c r="K27" s="15"/>
      <c r="L27" s="19"/>
    </row>
    <row r="28" spans="1:149">
      <c r="A28" s="1"/>
      <c r="B28" s="1"/>
      <c r="C28" s="29"/>
      <c r="D28" s="1"/>
      <c r="E28" s="11"/>
      <c r="F28" s="11"/>
      <c r="G28" s="11"/>
      <c r="H28" s="11"/>
      <c r="I28" s="11"/>
      <c r="J28" s="11"/>
      <c r="K28" s="15"/>
      <c r="L28" s="19"/>
    </row>
    <row r="29" spans="1:149" ht="26.4">
      <c r="A29" s="22" t="s">
        <v>21</v>
      </c>
      <c r="B29" s="23" t="s">
        <v>24</v>
      </c>
      <c r="C29" s="32" t="s">
        <v>28</v>
      </c>
      <c r="D29" s="33"/>
      <c r="E29" s="34"/>
      <c r="F29" s="34"/>
      <c r="G29" s="34"/>
      <c r="H29" s="34"/>
      <c r="I29" s="34"/>
      <c r="J29" s="34"/>
      <c r="K29" s="35">
        <f>SUM(J30:J35)</f>
        <v>225.41500000000002</v>
      </c>
      <c r="L29" s="36">
        <f>SUM(L30:L35)</f>
        <v>38.489999999999995</v>
      </c>
    </row>
    <row r="30" spans="1:149">
      <c r="A30" s="1"/>
      <c r="B30" s="1" t="s">
        <v>18</v>
      </c>
      <c r="C30" s="29"/>
      <c r="D30" s="1"/>
      <c r="E30" s="11"/>
      <c r="F30" s="11"/>
      <c r="G30" s="11">
        <v>0.3</v>
      </c>
      <c r="H30" s="11">
        <v>112</v>
      </c>
      <c r="I30" s="11">
        <v>667.27</v>
      </c>
      <c r="J30" s="11">
        <f>I30*G30</f>
        <v>200.18099999999998</v>
      </c>
      <c r="K30" s="15"/>
      <c r="L30" s="19">
        <f>G30*H30</f>
        <v>33.6</v>
      </c>
    </row>
    <row r="31" spans="1:149">
      <c r="A31" s="1"/>
      <c r="B31" s="1" t="s">
        <v>20</v>
      </c>
      <c r="C31" s="29"/>
      <c r="D31" s="1"/>
      <c r="E31" s="11"/>
      <c r="F31" s="11"/>
      <c r="G31" s="11">
        <v>0.1</v>
      </c>
      <c r="H31" s="11">
        <v>34.799999999999997</v>
      </c>
      <c r="I31" s="11">
        <v>51.93</v>
      </c>
      <c r="J31" s="11">
        <f>G31*I31</f>
        <v>5.1930000000000005</v>
      </c>
      <c r="K31" s="15"/>
      <c r="L31" s="19">
        <f>H31*G31</f>
        <v>3.48</v>
      </c>
    </row>
    <row r="32" spans="1:149">
      <c r="A32" s="1"/>
      <c r="B32" s="1" t="s">
        <v>32</v>
      </c>
      <c r="C32" s="29"/>
      <c r="D32" s="1"/>
      <c r="E32" s="11"/>
      <c r="F32" s="11"/>
      <c r="G32" s="11"/>
      <c r="H32" s="11"/>
      <c r="I32" s="11"/>
      <c r="J32" s="11"/>
      <c r="K32" s="15"/>
      <c r="L32" s="19"/>
    </row>
    <row r="33" spans="1:12">
      <c r="A33" s="2"/>
      <c r="B33" s="2" t="s">
        <v>33</v>
      </c>
      <c r="C33" s="28"/>
      <c r="D33" s="2">
        <v>8</v>
      </c>
      <c r="E33" s="10">
        <v>2</v>
      </c>
      <c r="F33" s="10">
        <v>2</v>
      </c>
      <c r="G33" s="10">
        <v>0.45</v>
      </c>
      <c r="H33" s="10"/>
      <c r="I33" s="10"/>
      <c r="J33" s="11">
        <f>D33*E33*F33*G33</f>
        <v>14.4</v>
      </c>
      <c r="K33" s="14"/>
      <c r="L33" s="18"/>
    </row>
    <row r="34" spans="1:12">
      <c r="A34" s="2"/>
      <c r="B34" s="2" t="s">
        <v>34</v>
      </c>
      <c r="C34" s="28"/>
      <c r="D34" s="2">
        <v>2</v>
      </c>
      <c r="E34" s="10">
        <v>2</v>
      </c>
      <c r="F34" s="10">
        <v>2</v>
      </c>
      <c r="G34" s="10">
        <v>0.55000000000000004</v>
      </c>
      <c r="H34" s="10"/>
      <c r="I34" s="10"/>
      <c r="J34" s="11">
        <f>D34*E34*F34*G34</f>
        <v>4.4000000000000004</v>
      </c>
      <c r="K34" s="14"/>
      <c r="L34" s="18"/>
    </row>
    <row r="35" spans="1:12">
      <c r="A35" s="2"/>
      <c r="B35" s="2" t="s">
        <v>22</v>
      </c>
      <c r="C35" s="28"/>
      <c r="D35" s="2"/>
      <c r="E35" s="10"/>
      <c r="F35" s="10"/>
      <c r="G35" s="10">
        <v>0.1</v>
      </c>
      <c r="H35" s="10">
        <v>14.1</v>
      </c>
      <c r="I35" s="10">
        <v>12.41</v>
      </c>
      <c r="J35" s="12">
        <f>G35*I35</f>
        <v>1.2410000000000001</v>
      </c>
      <c r="K35" s="14"/>
      <c r="L35" s="18">
        <f>H35*G35</f>
        <v>1.4100000000000001</v>
      </c>
    </row>
    <row r="36" spans="1:12">
      <c r="A36" s="1"/>
      <c r="B36" s="1"/>
      <c r="C36" s="29"/>
      <c r="D36" s="1"/>
      <c r="E36" s="11"/>
      <c r="F36" s="11"/>
      <c r="G36" s="11"/>
      <c r="H36" s="11"/>
      <c r="I36" s="11"/>
      <c r="J36" s="11"/>
      <c r="K36" s="15"/>
      <c r="L36" s="19"/>
    </row>
    <row r="37" spans="1:12">
      <c r="A37" s="22" t="s">
        <v>37</v>
      </c>
      <c r="B37" s="37" t="s">
        <v>38</v>
      </c>
      <c r="C37" s="48" t="s">
        <v>27</v>
      </c>
      <c r="D37" s="1"/>
      <c r="E37" s="11"/>
      <c r="F37" s="11"/>
      <c r="G37" s="11"/>
      <c r="H37" s="11"/>
      <c r="I37" s="11"/>
      <c r="J37" s="11"/>
      <c r="K37" s="15"/>
      <c r="L37" s="19"/>
    </row>
    <row r="38" spans="1:12">
      <c r="A38" s="1"/>
      <c r="B38" s="1" t="s">
        <v>40</v>
      </c>
      <c r="C38" s="29"/>
      <c r="D38" s="1"/>
      <c r="E38" s="11">
        <v>42.369</v>
      </c>
      <c r="F38" s="11"/>
      <c r="G38" s="11">
        <f>0.65- -3</f>
        <v>3.65</v>
      </c>
      <c r="H38" s="11"/>
      <c r="I38" s="11"/>
      <c r="J38" s="11"/>
      <c r="K38" s="15"/>
      <c r="L38" s="19"/>
    </row>
    <row r="39" spans="1:12">
      <c r="A39" s="1"/>
      <c r="B39" s="1" t="s">
        <v>39</v>
      </c>
      <c r="C39" s="29"/>
      <c r="D39" s="1"/>
      <c r="E39" s="11">
        <v>78.724999999999994</v>
      </c>
      <c r="F39" s="11"/>
      <c r="G39" s="11">
        <f>0- -3</f>
        <v>3</v>
      </c>
      <c r="H39" s="11"/>
      <c r="I39" s="11"/>
      <c r="J39" s="11"/>
      <c r="K39" s="15"/>
      <c r="L39" s="19"/>
    </row>
    <row r="40" spans="1:12">
      <c r="A40" s="1"/>
      <c r="B40" s="1"/>
      <c r="C40" s="29"/>
      <c r="D40" s="1"/>
      <c r="E40" s="11"/>
      <c r="F40" s="11"/>
      <c r="G40" s="11"/>
      <c r="H40" s="11"/>
      <c r="I40" s="11"/>
      <c r="J40" s="11"/>
      <c r="K40" s="15"/>
      <c r="L40" s="19"/>
    </row>
    <row r="41" spans="1:12">
      <c r="A41" s="1"/>
      <c r="B41" s="1"/>
      <c r="C41" s="29"/>
      <c r="D41" s="1"/>
      <c r="E41" s="11"/>
      <c r="F41" s="11"/>
      <c r="G41" s="11"/>
      <c r="H41" s="11"/>
      <c r="I41" s="11"/>
      <c r="J41" s="11"/>
      <c r="K41" s="15"/>
      <c r="L41" s="19"/>
    </row>
    <row r="42" spans="1:12">
      <c r="A42" s="1"/>
      <c r="B42" s="1"/>
      <c r="C42" s="29"/>
      <c r="D42" s="1"/>
      <c r="E42" s="11"/>
      <c r="F42" s="11"/>
      <c r="G42" s="11"/>
      <c r="H42" s="11"/>
      <c r="I42" s="11"/>
      <c r="J42" s="11"/>
      <c r="K42" s="15"/>
      <c r="L42" s="19"/>
    </row>
    <row r="43" spans="1:12">
      <c r="A43" s="22" t="s">
        <v>41</v>
      </c>
      <c r="B43" s="37" t="s">
        <v>42</v>
      </c>
      <c r="C43" s="48" t="s">
        <v>27</v>
      </c>
      <c r="D43" s="1"/>
      <c r="E43" s="11"/>
      <c r="F43" s="11"/>
      <c r="G43" s="11"/>
      <c r="H43" s="11"/>
      <c r="I43" s="11"/>
      <c r="J43" s="11"/>
      <c r="K43" s="15"/>
      <c r="L43" s="19"/>
    </row>
    <row r="44" spans="1:12">
      <c r="A44" s="1"/>
      <c r="B44" s="1"/>
      <c r="C44" s="29"/>
      <c r="D44" s="1"/>
      <c r="E44" s="11"/>
      <c r="F44" s="11"/>
      <c r="G44" s="11"/>
      <c r="H44" s="11"/>
      <c r="I44" s="11"/>
      <c r="J44" s="11"/>
      <c r="K44" s="21">
        <f>SUM(J45:J48)</f>
        <v>3.6849999999999996</v>
      </c>
      <c r="L44" s="25">
        <f>SUM(L45:L48)</f>
        <v>37.185000000000002</v>
      </c>
    </row>
    <row r="45" spans="1:12">
      <c r="A45" s="1"/>
      <c r="B45" s="1" t="s">
        <v>43</v>
      </c>
      <c r="C45" s="29">
        <v>1</v>
      </c>
      <c r="D45" s="1"/>
      <c r="E45" s="11"/>
      <c r="F45" s="11"/>
      <c r="G45" s="11">
        <v>3.35</v>
      </c>
      <c r="H45" s="11">
        <v>1.6</v>
      </c>
      <c r="I45" s="11">
        <v>0.15</v>
      </c>
      <c r="J45" s="11">
        <f>C45*G45*I45</f>
        <v>0.50249999999999995</v>
      </c>
      <c r="K45" s="15"/>
      <c r="L45" s="19">
        <f>C45*G45*H45</f>
        <v>5.36</v>
      </c>
    </row>
    <row r="46" spans="1:12">
      <c r="A46" s="1"/>
      <c r="B46" s="1" t="s">
        <v>44</v>
      </c>
      <c r="C46" s="29">
        <v>3</v>
      </c>
      <c r="D46" s="1"/>
      <c r="E46" s="11"/>
      <c r="F46" s="11"/>
      <c r="G46" s="11">
        <v>3.35</v>
      </c>
      <c r="H46" s="11">
        <v>1.9</v>
      </c>
      <c r="I46" s="11">
        <v>0.17499999999999999</v>
      </c>
      <c r="J46" s="11">
        <f t="shared" ref="J46:J48" si="0">C46*G46*I46</f>
        <v>1.75875</v>
      </c>
      <c r="K46" s="15"/>
      <c r="L46" s="19">
        <f t="shared" ref="L46:L48" si="1">C46*G46*H46</f>
        <v>19.094999999999999</v>
      </c>
    </row>
    <row r="47" spans="1:12">
      <c r="A47" s="1"/>
      <c r="B47" s="1" t="s">
        <v>45</v>
      </c>
      <c r="C47" s="29">
        <v>1</v>
      </c>
      <c r="D47" s="1"/>
      <c r="E47" s="11"/>
      <c r="F47" s="11"/>
      <c r="G47" s="11">
        <v>3.35</v>
      </c>
      <c r="H47" s="11">
        <v>2.5</v>
      </c>
      <c r="I47" s="11">
        <v>0.25</v>
      </c>
      <c r="J47" s="11">
        <f t="shared" si="0"/>
        <v>0.83750000000000002</v>
      </c>
      <c r="K47" s="15"/>
      <c r="L47" s="19">
        <f t="shared" si="1"/>
        <v>8.375</v>
      </c>
    </row>
    <row r="48" spans="1:12">
      <c r="A48" s="1"/>
      <c r="B48" s="1" t="s">
        <v>46</v>
      </c>
      <c r="C48" s="29">
        <v>1</v>
      </c>
      <c r="D48" s="1"/>
      <c r="E48" s="11"/>
      <c r="F48" s="11"/>
      <c r="G48" s="11">
        <v>3.35</v>
      </c>
      <c r="H48" s="11">
        <v>1.3</v>
      </c>
      <c r="I48" s="11">
        <v>0.17499999999999999</v>
      </c>
      <c r="J48" s="11">
        <f t="shared" si="0"/>
        <v>0.58624999999999994</v>
      </c>
      <c r="K48" s="15"/>
      <c r="L48" s="19">
        <f t="shared" si="1"/>
        <v>4.3550000000000004</v>
      </c>
    </row>
    <row r="49" spans="1:12">
      <c r="A49" s="1"/>
      <c r="B49" s="1"/>
      <c r="C49" s="29"/>
      <c r="D49" s="1"/>
      <c r="E49" s="11"/>
      <c r="F49" s="11"/>
      <c r="G49" s="11"/>
      <c r="H49" s="11"/>
      <c r="I49" s="11"/>
      <c r="K49" s="15"/>
    </row>
    <row r="50" spans="1:12">
      <c r="A50" s="22" t="s">
        <v>47</v>
      </c>
      <c r="B50" s="37" t="s">
        <v>48</v>
      </c>
      <c r="C50" s="48" t="s">
        <v>27</v>
      </c>
      <c r="D50" s="1"/>
      <c r="E50" s="11"/>
      <c r="F50" s="11"/>
      <c r="G50" s="11"/>
      <c r="H50" s="11"/>
      <c r="I50" s="11"/>
      <c r="J50" s="11"/>
      <c r="K50" s="15"/>
      <c r="L50" s="19"/>
    </row>
    <row r="51" spans="1:12">
      <c r="A51" s="1"/>
      <c r="B51" s="1"/>
      <c r="C51" s="29"/>
      <c r="D51" s="1"/>
      <c r="E51" s="11"/>
      <c r="F51" s="11"/>
      <c r="G51" s="11"/>
      <c r="H51" s="11"/>
      <c r="I51" s="11"/>
      <c r="J51" s="11"/>
      <c r="K51" s="15"/>
      <c r="L51" s="19"/>
    </row>
    <row r="52" spans="1:12">
      <c r="A52" s="1"/>
      <c r="B52" s="1" t="s">
        <v>49</v>
      </c>
      <c r="C52" s="29"/>
      <c r="D52" s="1"/>
      <c r="E52" s="11"/>
      <c r="F52" s="11"/>
      <c r="G52" s="11">
        <v>0.7</v>
      </c>
      <c r="H52" s="11">
        <v>56.848999999999997</v>
      </c>
      <c r="I52" s="11">
        <v>6.9598000000000004</v>
      </c>
      <c r="J52" s="11">
        <f>G52*I52</f>
        <v>4.8718599999999999</v>
      </c>
      <c r="K52" s="21">
        <f>J52</f>
        <v>4.8718599999999999</v>
      </c>
      <c r="L52" s="25">
        <f>G52*H52</f>
        <v>39.794299999999993</v>
      </c>
    </row>
    <row r="53" spans="1:12">
      <c r="A53" s="1"/>
      <c r="B53" s="1"/>
      <c r="C53" s="29"/>
      <c r="D53" s="1"/>
      <c r="E53" s="11"/>
      <c r="F53" s="11"/>
      <c r="G53" s="11"/>
      <c r="H53" s="11"/>
      <c r="I53" s="11"/>
      <c r="J53" s="11"/>
      <c r="K53" s="15"/>
      <c r="L53" s="19"/>
    </row>
    <row r="54" spans="1:12">
      <c r="A54" s="22" t="s">
        <v>50</v>
      </c>
      <c r="B54" s="37" t="s">
        <v>51</v>
      </c>
      <c r="C54" s="48" t="s">
        <v>27</v>
      </c>
      <c r="D54" s="1"/>
      <c r="E54" s="11"/>
      <c r="F54" s="11"/>
      <c r="G54" s="11"/>
      <c r="H54" s="11"/>
      <c r="I54" s="11"/>
      <c r="J54" s="11"/>
      <c r="K54" s="15"/>
      <c r="L54" s="19"/>
    </row>
    <row r="55" spans="1:12">
      <c r="A55" s="1"/>
      <c r="B55" s="1"/>
      <c r="C55" s="29"/>
      <c r="D55" s="1"/>
      <c r="E55" s="11"/>
      <c r="F55" s="11"/>
      <c r="G55" s="11"/>
      <c r="H55" s="11"/>
      <c r="I55" s="11"/>
      <c r="J55" s="11"/>
      <c r="K55" s="15"/>
      <c r="L55" s="19"/>
    </row>
    <row r="56" spans="1:12">
      <c r="A56" s="1"/>
      <c r="B56" s="1"/>
      <c r="C56" s="29"/>
      <c r="D56" s="1"/>
      <c r="E56" s="11"/>
      <c r="F56" s="11"/>
      <c r="G56" s="11">
        <v>0.3</v>
      </c>
      <c r="H56" s="11"/>
      <c r="I56" s="11">
        <v>40.49</v>
      </c>
      <c r="J56" s="11"/>
      <c r="K56" s="21">
        <f>G56*I56</f>
        <v>12.147</v>
      </c>
      <c r="L56" s="19"/>
    </row>
    <row r="57" spans="1:12">
      <c r="A57" s="1"/>
      <c r="B57" s="1"/>
      <c r="C57" s="29"/>
      <c r="D57" s="1"/>
      <c r="E57" s="11"/>
      <c r="F57" s="11"/>
      <c r="G57" s="11"/>
      <c r="H57" s="11"/>
      <c r="I57" s="11"/>
      <c r="J57" s="11"/>
      <c r="K57" s="15"/>
      <c r="L57" s="19"/>
    </row>
    <row r="58" spans="1:12">
      <c r="A58" s="1"/>
      <c r="B58" s="1"/>
      <c r="C58" s="29"/>
      <c r="D58" s="1"/>
      <c r="E58" s="11"/>
      <c r="F58" s="11"/>
      <c r="G58" s="11"/>
      <c r="H58" s="11"/>
      <c r="I58" s="11"/>
      <c r="J58" s="11"/>
      <c r="K58" s="15"/>
      <c r="L58" s="19"/>
    </row>
    <row r="59" spans="1:12">
      <c r="A59" s="1"/>
      <c r="B59" s="1"/>
      <c r="C59" s="29"/>
      <c r="D59" s="1"/>
      <c r="E59" s="11"/>
      <c r="F59" s="11"/>
      <c r="G59" s="11"/>
      <c r="H59" s="11"/>
      <c r="I59" s="11"/>
      <c r="J59" s="11"/>
      <c r="K59" s="15"/>
      <c r="L59" s="19"/>
    </row>
    <row r="60" spans="1:12">
      <c r="A60" s="1"/>
      <c r="B60" s="1"/>
      <c r="C60" s="29"/>
      <c r="D60" s="1"/>
      <c r="E60" s="11"/>
      <c r="F60" s="11"/>
      <c r="G60" s="11"/>
      <c r="H60" s="11"/>
      <c r="I60" s="11"/>
      <c r="J60" s="11"/>
      <c r="K60" s="15"/>
      <c r="L60" s="19"/>
    </row>
    <row r="61" spans="1:12">
      <c r="A61" s="1"/>
      <c r="B61" s="1"/>
      <c r="C61" s="29"/>
      <c r="D61" s="1"/>
      <c r="E61" s="11"/>
      <c r="F61" s="11"/>
      <c r="G61" s="11"/>
      <c r="H61" s="11"/>
      <c r="I61" s="11"/>
      <c r="J61" s="11"/>
      <c r="K61" s="15"/>
      <c r="L61" s="19"/>
    </row>
    <row r="62" spans="1:12">
      <c r="A62" s="1"/>
      <c r="B62" s="1"/>
      <c r="C62" s="29"/>
      <c r="D62" s="1"/>
      <c r="E62" s="11"/>
      <c r="F62" s="11"/>
      <c r="G62" s="11"/>
      <c r="H62" s="11"/>
      <c r="I62" s="11"/>
      <c r="J62" s="11"/>
      <c r="K62" s="15"/>
      <c r="L62" s="19"/>
    </row>
    <row r="63" spans="1:12">
      <c r="A63" s="1"/>
      <c r="B63" s="1"/>
      <c r="C63" s="29"/>
      <c r="D63" s="1"/>
      <c r="E63" s="11"/>
      <c r="F63" s="11"/>
      <c r="G63" s="11"/>
      <c r="H63" s="11"/>
      <c r="I63" s="11"/>
      <c r="J63" s="11"/>
      <c r="K63" s="15"/>
      <c r="L63" s="19"/>
    </row>
    <row r="64" spans="1:12">
      <c r="A64" s="1"/>
      <c r="B64" s="1"/>
      <c r="C64" s="29"/>
      <c r="D64" s="1"/>
      <c r="E64" s="11"/>
      <c r="F64" s="11"/>
      <c r="G64" s="11"/>
      <c r="H64" s="11"/>
      <c r="I64" s="11"/>
      <c r="J64" s="11"/>
      <c r="K64" s="15"/>
      <c r="L64" s="19"/>
    </row>
    <row r="65" spans="1:12">
      <c r="A65" s="1"/>
      <c r="B65" s="1"/>
      <c r="C65" s="29"/>
      <c r="D65" s="1"/>
      <c r="E65" s="11"/>
      <c r="F65" s="11"/>
      <c r="G65" s="11"/>
      <c r="H65" s="11"/>
      <c r="I65" s="11"/>
      <c r="J65" s="11"/>
      <c r="K65" s="15"/>
      <c r="L65" s="19"/>
    </row>
    <row r="66" spans="1:12">
      <c r="A66" s="1"/>
      <c r="B66" s="1"/>
      <c r="C66" s="29"/>
      <c r="D66" s="1"/>
      <c r="E66" s="11"/>
      <c r="F66" s="11"/>
      <c r="G66" s="11"/>
      <c r="H66" s="11"/>
      <c r="I66" s="11"/>
      <c r="J66" s="11"/>
      <c r="K66" s="15"/>
      <c r="L66" s="19"/>
    </row>
  </sheetData>
  <mergeCells count="1">
    <mergeCell ref="A3:D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SECTION C - CONCRETE WORKS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MOHAMED MUSRIF</dc:creator>
  <cp:lastModifiedBy>mohamedmusrifcrazy7@gmail.com</cp:lastModifiedBy>
  <dcterms:created xsi:type="dcterms:W3CDTF">2026-01-01T12:07:15Z</dcterms:created>
  <dcterms:modified xsi:type="dcterms:W3CDTF">2026-01-15T11:13:01Z</dcterms:modified>
</cp:coreProperties>
</file>